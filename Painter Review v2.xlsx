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 User\Desktop\paint app\"/>
    </mc:Choice>
  </mc:AlternateContent>
  <xr:revisionPtr revIDLastSave="0" documentId="8_{7A28F85C-7879-4B36-8021-DAE4BE7BA314}" xr6:coauthVersionLast="47" xr6:coauthVersionMax="47" xr10:uidLastSave="{00000000-0000-0000-0000-000000000000}"/>
  <bookViews>
    <workbookView xWindow="28680" yWindow="-120" windowWidth="29040" windowHeight="15840" xr2:uid="{1696A428-4B72-408B-9CF4-BAE0B8CBF2B1}"/>
  </bookViews>
  <sheets>
    <sheet name="Data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2" l="1"/>
  <c r="P32" i="2"/>
  <c r="N31" i="2"/>
  <c r="P31" i="2"/>
  <c r="N30" i="2"/>
  <c r="P30" i="2"/>
  <c r="N29" i="2"/>
  <c r="P29" i="2"/>
  <c r="N28" i="2"/>
  <c r="P28" i="2"/>
  <c r="N27" i="2"/>
  <c r="P27" i="2"/>
  <c r="N26" i="2"/>
  <c r="P26" i="2"/>
  <c r="N25" i="2"/>
  <c r="P25" i="2"/>
  <c r="L16" i="2"/>
  <c r="N16" i="2" s="1"/>
  <c r="N24" i="2"/>
  <c r="P24" i="2"/>
  <c r="N23" i="2"/>
  <c r="P23" i="2"/>
  <c r="N22" i="2"/>
  <c r="P22" i="2"/>
  <c r="N21" i="2"/>
  <c r="P21" i="2"/>
  <c r="N20" i="2"/>
  <c r="P20" i="2"/>
  <c r="N19" i="2"/>
  <c r="P19" i="2"/>
  <c r="N18" i="2"/>
  <c r="P18" i="2"/>
  <c r="N17" i="2"/>
  <c r="P17" i="2"/>
  <c r="P16" i="2"/>
  <c r="N15" i="2"/>
  <c r="P15" i="2"/>
  <c r="N14" i="2"/>
  <c r="P14" i="2"/>
  <c r="N13" i="2"/>
  <c r="P13" i="2"/>
  <c r="N12" i="2"/>
  <c r="P12" i="2"/>
  <c r="N11" i="2"/>
  <c r="P11" i="2"/>
  <c r="L8" i="2"/>
  <c r="K8" i="2"/>
  <c r="P8" i="2" s="1"/>
  <c r="N10" i="2"/>
  <c r="P10" i="2"/>
  <c r="N9" i="2"/>
  <c r="P9" i="2"/>
  <c r="N7" i="2"/>
  <c r="P7" i="2"/>
  <c r="K6" i="2"/>
  <c r="N6" i="2" s="1"/>
  <c r="P3" i="2"/>
  <c r="P5" i="2"/>
  <c r="P4" i="2"/>
  <c r="N3" i="2"/>
  <c r="N4" i="2"/>
  <c r="N5" i="2"/>
  <c r="L2" i="2"/>
  <c r="K2" i="2"/>
  <c r="N2" i="2" l="1"/>
  <c r="N8" i="2"/>
  <c r="P6" i="2"/>
  <c r="P2" i="2"/>
</calcChain>
</file>

<file path=xl/sharedStrings.xml><?xml version="1.0" encoding="utf-8"?>
<sst xmlns="http://schemas.openxmlformats.org/spreadsheetml/2006/main" count="178" uniqueCount="69">
  <si>
    <t>Painter</t>
  </si>
  <si>
    <t>Address</t>
  </si>
  <si>
    <t>Doors</t>
  </si>
  <si>
    <t>Windows</t>
  </si>
  <si>
    <t>217 Wilton Road</t>
  </si>
  <si>
    <t>Bathroom</t>
  </si>
  <si>
    <t>Length</t>
  </si>
  <si>
    <t>Width</t>
  </si>
  <si>
    <t>Ceiling Height</t>
  </si>
  <si>
    <t>Other</t>
  </si>
  <si>
    <t>Hallway</t>
  </si>
  <si>
    <t>Cost</t>
  </si>
  <si>
    <t>Laundry</t>
  </si>
  <si>
    <t>Living Room</t>
  </si>
  <si>
    <t>lining paper</t>
  </si>
  <si>
    <t>Ceiling Inc</t>
  </si>
  <si>
    <t>Ceiling Total</t>
  </si>
  <si>
    <t>Walls Total</t>
  </si>
  <si>
    <t>Walls Inc</t>
  </si>
  <si>
    <t>Quote Number</t>
  </si>
  <si>
    <t>QF579</t>
  </si>
  <si>
    <t>FF</t>
  </si>
  <si>
    <t>Notes</t>
  </si>
  <si>
    <t>Quote date</t>
  </si>
  <si>
    <t>WD</t>
  </si>
  <si>
    <t>QU-2723</t>
  </si>
  <si>
    <t>49 Seaview Road</t>
  </si>
  <si>
    <t>QU-2718</t>
  </si>
  <si>
    <t>24a Opapa</t>
  </si>
  <si>
    <t>Kitchen living hallway</t>
  </si>
  <si>
    <t>Master Bedroom</t>
  </si>
  <si>
    <t>Bed 2</t>
  </si>
  <si>
    <t>Little hallway</t>
  </si>
  <si>
    <t>QU-2746</t>
  </si>
  <si>
    <t>39a Kentwood Drive</t>
  </si>
  <si>
    <t>bedroom</t>
  </si>
  <si>
    <t>Ensuite</t>
  </si>
  <si>
    <t>QU-2731</t>
  </si>
  <si>
    <t>22 Freyberg</t>
  </si>
  <si>
    <t>Interior</t>
  </si>
  <si>
    <t>Big area not split accutately</t>
  </si>
  <si>
    <t>F-566</t>
  </si>
  <si>
    <t>517 Marine Drive</t>
  </si>
  <si>
    <t>Garage Entry</t>
  </si>
  <si>
    <t>top stiar case</t>
  </si>
  <si>
    <t>bathroom</t>
  </si>
  <si>
    <t>stair case</t>
  </si>
  <si>
    <t>Living dining</t>
  </si>
  <si>
    <t>Exterior</t>
  </si>
  <si>
    <t>additional scope</t>
  </si>
  <si>
    <t>stairs</t>
  </si>
  <si>
    <t>stairsrs</t>
  </si>
  <si>
    <t>Kitchen</t>
  </si>
  <si>
    <t>F-588</t>
  </si>
  <si>
    <t>13E Peterhouse Street</t>
  </si>
  <si>
    <t>upper bathroom</t>
  </si>
  <si>
    <t>Lower Bathroom</t>
  </si>
  <si>
    <t>F-573</t>
  </si>
  <si>
    <t>54 Rangoon</t>
  </si>
  <si>
    <t>QU-2749</t>
  </si>
  <si>
    <t>219/4 The Terrace</t>
  </si>
  <si>
    <t>QuoteRoom</t>
  </si>
  <si>
    <t>RoomType</t>
  </si>
  <si>
    <t>Kitchen/Living</t>
  </si>
  <si>
    <t>Bedroom</t>
  </si>
  <si>
    <t>Garage</t>
  </si>
  <si>
    <t>Stair Case</t>
  </si>
  <si>
    <t>Living</t>
  </si>
  <si>
    <t>Additional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</si>
</sst>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2" xfId="0" applyFont="1" applyFill="1" applyBorder="1"/>
    <xf numFmtId="0" fontId="0" fillId="2" borderId="3" xfId="0" applyFont="1" applyFill="1" applyBorder="1"/>
    <xf numFmtId="0" fontId="2" fillId="3" borderId="4" xfId="0" applyFont="1" applyFill="1" applyBorder="1"/>
    <xf numFmtId="0" fontId="2" fillId="3" borderId="1" xfId="0" applyFont="1" applyFill="1" applyBorder="1"/>
    <xf numFmtId="0" fontId="0" fillId="2" borderId="4" xfId="0" applyFont="1" applyFill="1" applyBorder="1"/>
    <xf numFmtId="0" fontId="0" fillId="2" borderId="1" xfId="0" applyFont="1" applyFill="1" applyBorder="1"/>
    <xf numFmtId="14" fontId="0" fillId="2" borderId="1" xfId="0" applyNumberFormat="1" applyFont="1" applyFill="1" applyBorder="1"/>
    <xf numFmtId="44" fontId="0" fillId="2" borderId="1" xfId="1" applyNumberFormat="1" applyFont="1" applyFill="1" applyBorder="1"/>
    <xf numFmtId="0" fontId="0" fillId="0" borderId="4" xfId="0" applyFont="1" applyBorder="1"/>
    <xf numFmtId="0" fontId="0" fillId="0" borderId="1" xfId="0" applyFont="1" applyBorder="1"/>
    <xf numFmtId="14" fontId="0" fillId="0" borderId="1" xfId="0" applyNumberFormat="1" applyFont="1" applyBorder="1"/>
    <xf numFmtId="44" fontId="0" fillId="0" borderId="1" xfId="1" applyNumberFormat="1" applyFont="1" applyBorder="1"/>
    <xf numFmtId="14" fontId="0" fillId="2" borderId="3" xfId="0" applyNumberFormat="1" applyFont="1" applyFill="1" applyBorder="1"/>
    <xf numFmtId="44" fontId="0" fillId="2" borderId="3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5F4C-CE33-464A-862C-72F5770BACF7}">
  <dimension ref="A1:R32"/>
  <sheetViews>
    <sheetView tabSelected="1" workbookViewId="0">
      <selection activeCell="E1" sqref="E1"/>
    </sheetView>
  </sheetViews>
  <sheetFormatPr defaultRowHeight="15" x14ac:dyDescent="0.25"/>
  <cols>
    <col min="1" max="1" width="9.5703125" customWidth="1"/>
    <col min="2" max="2" width="16.42578125" customWidth="1"/>
    <col min="3" max="3" width="15.28515625" bestFit="1" customWidth="1"/>
    <col min="4" max="4" width="11.5703125" bestFit="1" customWidth="1"/>
    <col min="5" max="5" width="20.28515625" bestFit="1" customWidth="1"/>
    <col min="6" max="6" width="11.5703125" bestFit="1" customWidth="1"/>
    <col min="7" max="7" width="11.42578125" customWidth="1"/>
    <col min="8" max="8" width="16" customWidth="1"/>
    <col min="9" max="9" width="9.28515625" customWidth="1"/>
    <col min="10" max="10" width="8.5703125" customWidth="1"/>
    <col min="11" max="11" width="12.7109375" customWidth="1"/>
    <col min="12" max="12" width="14.42578125" customWidth="1"/>
    <col min="13" max="13" width="11.28515625" customWidth="1"/>
    <col min="14" max="14" width="13" customWidth="1"/>
    <col min="15" max="15" width="8.28515625" customWidth="1"/>
    <col min="16" max="17" width="11.5703125" bestFit="1" customWidth="1"/>
  </cols>
  <sheetData>
    <row r="1" spans="1:18" x14ac:dyDescent="0.25">
      <c r="A1" s="3" t="s">
        <v>0</v>
      </c>
      <c r="B1" s="4" t="s">
        <v>19</v>
      </c>
      <c r="C1" s="4" t="s">
        <v>23</v>
      </c>
      <c r="D1" s="4" t="s">
        <v>1</v>
      </c>
      <c r="E1" s="4" t="s">
        <v>61</v>
      </c>
      <c r="F1" s="4" t="s">
        <v>62</v>
      </c>
      <c r="G1" s="4" t="s">
        <v>11</v>
      </c>
      <c r="H1" s="4" t="s">
        <v>2</v>
      </c>
      <c r="I1" s="4" t="s">
        <v>3</v>
      </c>
      <c r="J1" s="4" t="s">
        <v>8</v>
      </c>
      <c r="K1" s="4" t="s">
        <v>6</v>
      </c>
      <c r="L1" s="4" t="s">
        <v>7</v>
      </c>
      <c r="M1" s="4" t="s">
        <v>15</v>
      </c>
      <c r="N1" s="4" t="s">
        <v>16</v>
      </c>
      <c r="O1" s="4" t="s">
        <v>18</v>
      </c>
      <c r="P1" s="4" t="s">
        <v>17</v>
      </c>
      <c r="Q1" s="4" t="s">
        <v>9</v>
      </c>
      <c r="R1" s="4" t="s">
        <v>22</v>
      </c>
    </row>
    <row r="2" spans="1:18" x14ac:dyDescent="0.25">
      <c r="A2" s="5" t="s">
        <v>21</v>
      </c>
      <c r="B2" s="6" t="s">
        <v>20</v>
      </c>
      <c r="C2" s="7">
        <v>45830</v>
      </c>
      <c r="D2" s="6" t="s">
        <v>4</v>
      </c>
      <c r="E2" s="6" t="s">
        <v>5</v>
      </c>
      <c r="F2" s="6" t="s">
        <v>5</v>
      </c>
      <c r="G2" s="8">
        <v>1500</v>
      </c>
      <c r="H2" s="6">
        <v>1</v>
      </c>
      <c r="I2" s="6">
        <v>1</v>
      </c>
      <c r="J2" s="6">
        <v>2.7</v>
      </c>
      <c r="K2" s="6">
        <f>2</f>
        <v>2</v>
      </c>
      <c r="L2" s="6">
        <f>0.757+0.95+1.4</f>
        <v>3.1069999999999998</v>
      </c>
      <c r="M2" s="6">
        <v>1</v>
      </c>
      <c r="N2" s="6">
        <f t="shared" ref="N2:N32" si="0">L2*M2*K2</f>
        <v>6.2139999999999995</v>
      </c>
      <c r="O2" s="6">
        <v>1</v>
      </c>
      <c r="P2" s="6">
        <f t="shared" ref="P2:P32" si="1">O2*((K2+L2)*2)*J2</f>
        <v>27.5778</v>
      </c>
      <c r="Q2" s="6"/>
      <c r="R2" s="6"/>
    </row>
    <row r="3" spans="1:18" x14ac:dyDescent="0.25">
      <c r="A3" s="9" t="s">
        <v>21</v>
      </c>
      <c r="B3" s="10" t="s">
        <v>20</v>
      </c>
      <c r="C3" s="11">
        <v>45830</v>
      </c>
      <c r="D3" s="10" t="s">
        <v>4</v>
      </c>
      <c r="E3" s="10" t="s">
        <v>10</v>
      </c>
      <c r="F3" s="10" t="s">
        <v>10</v>
      </c>
      <c r="G3" s="12">
        <v>4000</v>
      </c>
      <c r="H3" s="10">
        <v>6</v>
      </c>
      <c r="I3" s="10">
        <v>0</v>
      </c>
      <c r="J3" s="10">
        <v>2.7</v>
      </c>
      <c r="K3" s="10">
        <v>6.9</v>
      </c>
      <c r="L3" s="10">
        <v>2.4449999999999998</v>
      </c>
      <c r="M3" s="10">
        <v>1</v>
      </c>
      <c r="N3" s="10">
        <f t="shared" si="0"/>
        <v>16.8705</v>
      </c>
      <c r="O3" s="10">
        <v>1</v>
      </c>
      <c r="P3" s="10">
        <f t="shared" si="1"/>
        <v>50.463000000000008</v>
      </c>
      <c r="Q3" s="10">
        <v>1</v>
      </c>
      <c r="R3" s="10" t="s">
        <v>14</v>
      </c>
    </row>
    <row r="4" spans="1:18" x14ac:dyDescent="0.25">
      <c r="A4" s="5" t="s">
        <v>21</v>
      </c>
      <c r="B4" s="6" t="s">
        <v>20</v>
      </c>
      <c r="C4" s="7">
        <v>45830</v>
      </c>
      <c r="D4" s="6" t="s">
        <v>4</v>
      </c>
      <c r="E4" s="6" t="s">
        <v>12</v>
      </c>
      <c r="F4" s="6" t="s">
        <v>12</v>
      </c>
      <c r="G4" s="8">
        <v>500</v>
      </c>
      <c r="H4" s="6">
        <v>0</v>
      </c>
      <c r="I4" s="6">
        <v>0</v>
      </c>
      <c r="J4" s="6">
        <v>2.7</v>
      </c>
      <c r="K4" s="6">
        <v>2</v>
      </c>
      <c r="L4" s="6">
        <v>0.1</v>
      </c>
      <c r="M4" s="6">
        <v>0</v>
      </c>
      <c r="N4" s="6">
        <f t="shared" si="0"/>
        <v>0</v>
      </c>
      <c r="O4" s="6">
        <v>1</v>
      </c>
      <c r="P4" s="6">
        <f t="shared" si="1"/>
        <v>11.340000000000002</v>
      </c>
      <c r="Q4" s="6"/>
      <c r="R4" s="6"/>
    </row>
    <row r="5" spans="1:18" x14ac:dyDescent="0.25">
      <c r="A5" s="9" t="s">
        <v>21</v>
      </c>
      <c r="B5" s="10" t="s">
        <v>20</v>
      </c>
      <c r="C5" s="11">
        <v>45830</v>
      </c>
      <c r="D5" s="10" t="s">
        <v>4</v>
      </c>
      <c r="E5" s="10" t="s">
        <v>13</v>
      </c>
      <c r="F5" s="10" t="s">
        <v>67</v>
      </c>
      <c r="G5" s="12">
        <v>4000</v>
      </c>
      <c r="H5" s="10">
        <v>2</v>
      </c>
      <c r="I5" s="10">
        <v>3</v>
      </c>
      <c r="J5" s="10">
        <v>2.7</v>
      </c>
      <c r="K5" s="10">
        <v>6.1</v>
      </c>
      <c r="L5" s="10">
        <v>4.2</v>
      </c>
      <c r="M5" s="10">
        <v>1</v>
      </c>
      <c r="N5" s="10">
        <f t="shared" si="0"/>
        <v>25.62</v>
      </c>
      <c r="O5" s="10">
        <v>1</v>
      </c>
      <c r="P5" s="10">
        <f t="shared" si="1"/>
        <v>55.620000000000005</v>
      </c>
      <c r="Q5" s="10"/>
      <c r="R5" s="10"/>
    </row>
    <row r="6" spans="1:18" x14ac:dyDescent="0.25">
      <c r="A6" s="5" t="s">
        <v>24</v>
      </c>
      <c r="B6" s="6" t="s">
        <v>25</v>
      </c>
      <c r="C6" s="7">
        <v>45861</v>
      </c>
      <c r="D6" s="6" t="s">
        <v>26</v>
      </c>
      <c r="E6" s="6" t="s">
        <v>5</v>
      </c>
      <c r="F6" s="6" t="s">
        <v>5</v>
      </c>
      <c r="G6" s="8">
        <v>1600</v>
      </c>
      <c r="H6" s="6">
        <v>1</v>
      </c>
      <c r="I6" s="6">
        <v>2</v>
      </c>
      <c r="J6" s="6">
        <v>2.61</v>
      </c>
      <c r="K6" s="6">
        <f>0.5+1.4+0.8</f>
        <v>2.7</v>
      </c>
      <c r="L6" s="6">
        <v>2</v>
      </c>
      <c r="M6" s="6">
        <v>1</v>
      </c>
      <c r="N6" s="6">
        <f t="shared" si="0"/>
        <v>5.4</v>
      </c>
      <c r="O6" s="6">
        <v>1</v>
      </c>
      <c r="P6" s="6">
        <f t="shared" si="1"/>
        <v>24.533999999999999</v>
      </c>
      <c r="Q6" s="6"/>
      <c r="R6" s="6"/>
    </row>
    <row r="7" spans="1:18" x14ac:dyDescent="0.25">
      <c r="A7" s="9" t="s">
        <v>24</v>
      </c>
      <c r="B7" s="10" t="s">
        <v>27</v>
      </c>
      <c r="C7" s="11">
        <v>45831</v>
      </c>
      <c r="D7" s="10" t="s">
        <v>28</v>
      </c>
      <c r="E7" s="10" t="s">
        <v>29</v>
      </c>
      <c r="F7" s="10" t="s">
        <v>63</v>
      </c>
      <c r="G7" s="12">
        <v>4500</v>
      </c>
      <c r="H7" s="10">
        <v>4</v>
      </c>
      <c r="I7" s="10">
        <v>3</v>
      </c>
      <c r="J7" s="10">
        <v>2.76</v>
      </c>
      <c r="K7" s="10">
        <v>10.3</v>
      </c>
      <c r="L7" s="10">
        <v>3.4</v>
      </c>
      <c r="M7" s="10">
        <v>1</v>
      </c>
      <c r="N7" s="10">
        <f t="shared" si="0"/>
        <v>35.020000000000003</v>
      </c>
      <c r="O7" s="10">
        <v>1</v>
      </c>
      <c r="P7" s="10">
        <f t="shared" si="1"/>
        <v>75.623999999999995</v>
      </c>
      <c r="Q7" s="10">
        <v>1</v>
      </c>
      <c r="R7" s="10" t="s">
        <v>32</v>
      </c>
    </row>
    <row r="8" spans="1:18" x14ac:dyDescent="0.25">
      <c r="A8" s="5" t="s">
        <v>24</v>
      </c>
      <c r="B8" s="6" t="s">
        <v>27</v>
      </c>
      <c r="C8" s="7">
        <v>45831</v>
      </c>
      <c r="D8" s="6" t="s">
        <v>28</v>
      </c>
      <c r="E8" s="6" t="s">
        <v>5</v>
      </c>
      <c r="F8" s="6" t="s">
        <v>5</v>
      </c>
      <c r="G8" s="8">
        <v>1500</v>
      </c>
      <c r="H8" s="6">
        <v>1</v>
      </c>
      <c r="I8" s="6">
        <v>1</v>
      </c>
      <c r="J8" s="6">
        <v>2.76</v>
      </c>
      <c r="K8" s="6">
        <f>2.4</f>
        <v>2.4</v>
      </c>
      <c r="L8" s="6">
        <f>1.8+1</f>
        <v>2.8</v>
      </c>
      <c r="M8" s="6">
        <v>1</v>
      </c>
      <c r="N8" s="6">
        <f t="shared" si="0"/>
        <v>6.72</v>
      </c>
      <c r="O8" s="6">
        <v>1</v>
      </c>
      <c r="P8" s="6">
        <f t="shared" si="1"/>
        <v>28.703999999999994</v>
      </c>
      <c r="Q8" s="6"/>
      <c r="R8" s="6"/>
    </row>
    <row r="9" spans="1:18" x14ac:dyDescent="0.25">
      <c r="A9" s="9" t="s">
        <v>24</v>
      </c>
      <c r="B9" s="10" t="s">
        <v>27</v>
      </c>
      <c r="C9" s="11">
        <v>45831</v>
      </c>
      <c r="D9" s="10" t="s">
        <v>28</v>
      </c>
      <c r="E9" s="10" t="s">
        <v>30</v>
      </c>
      <c r="F9" s="10" t="s">
        <v>64</v>
      </c>
      <c r="G9" s="12">
        <v>1600</v>
      </c>
      <c r="H9" s="10">
        <v>2</v>
      </c>
      <c r="I9" s="10">
        <v>1</v>
      </c>
      <c r="J9" s="10">
        <v>2.76</v>
      </c>
      <c r="K9" s="10">
        <v>4</v>
      </c>
      <c r="L9" s="10">
        <v>3.5</v>
      </c>
      <c r="M9" s="10">
        <v>1</v>
      </c>
      <c r="N9" s="10">
        <f t="shared" si="0"/>
        <v>14</v>
      </c>
      <c r="O9" s="10">
        <v>1</v>
      </c>
      <c r="P9" s="10">
        <f t="shared" si="1"/>
        <v>41.4</v>
      </c>
      <c r="Q9" s="10"/>
      <c r="R9" s="10"/>
    </row>
    <row r="10" spans="1:18" x14ac:dyDescent="0.25">
      <c r="A10" s="5" t="s">
        <v>24</v>
      </c>
      <c r="B10" s="6" t="s">
        <v>27</v>
      </c>
      <c r="C10" s="7">
        <v>45831</v>
      </c>
      <c r="D10" s="6" t="s">
        <v>28</v>
      </c>
      <c r="E10" s="6" t="s">
        <v>31</v>
      </c>
      <c r="F10" s="6" t="s">
        <v>64</v>
      </c>
      <c r="G10" s="8">
        <v>1500</v>
      </c>
      <c r="H10" s="6">
        <v>2</v>
      </c>
      <c r="I10" s="6">
        <v>1</v>
      </c>
      <c r="J10" s="6">
        <v>2.76</v>
      </c>
      <c r="K10" s="6">
        <v>4</v>
      </c>
      <c r="L10" s="6">
        <v>3.5</v>
      </c>
      <c r="M10" s="6">
        <v>1</v>
      </c>
      <c r="N10" s="6">
        <f t="shared" si="0"/>
        <v>14</v>
      </c>
      <c r="O10" s="6">
        <v>1</v>
      </c>
      <c r="P10" s="6">
        <f t="shared" si="1"/>
        <v>41.4</v>
      </c>
      <c r="Q10" s="6"/>
      <c r="R10" s="6"/>
    </row>
    <row r="11" spans="1:18" x14ac:dyDescent="0.25">
      <c r="A11" s="9" t="s">
        <v>24</v>
      </c>
      <c r="B11" s="10" t="s">
        <v>33</v>
      </c>
      <c r="C11" s="11">
        <v>45946</v>
      </c>
      <c r="D11" s="10" t="s">
        <v>34</v>
      </c>
      <c r="E11" s="10" t="s">
        <v>5</v>
      </c>
      <c r="F11" s="10" t="s">
        <v>5</v>
      </c>
      <c r="G11" s="12">
        <v>1141.68</v>
      </c>
      <c r="H11" s="10">
        <v>1</v>
      </c>
      <c r="I11" s="10">
        <v>0</v>
      </c>
      <c r="J11" s="10">
        <v>2.4</v>
      </c>
      <c r="K11" s="10">
        <v>2</v>
      </c>
      <c r="L11" s="10">
        <v>2.4</v>
      </c>
      <c r="M11" s="10">
        <v>1</v>
      </c>
      <c r="N11" s="10">
        <f t="shared" si="0"/>
        <v>4.8</v>
      </c>
      <c r="O11" s="10">
        <v>1</v>
      </c>
      <c r="P11" s="10">
        <f t="shared" si="1"/>
        <v>21.12</v>
      </c>
      <c r="Q11" s="10"/>
      <c r="R11" s="10"/>
    </row>
    <row r="12" spans="1:18" x14ac:dyDescent="0.25">
      <c r="A12" s="5" t="s">
        <v>24</v>
      </c>
      <c r="B12" s="6" t="s">
        <v>33</v>
      </c>
      <c r="C12" s="7">
        <v>45946</v>
      </c>
      <c r="D12" s="6" t="s">
        <v>34</v>
      </c>
      <c r="E12" s="6" t="s">
        <v>35</v>
      </c>
      <c r="F12" s="6" t="s">
        <v>64</v>
      </c>
      <c r="G12" s="8">
        <v>2556.16</v>
      </c>
      <c r="H12" s="6">
        <v>3</v>
      </c>
      <c r="I12" s="6">
        <v>2</v>
      </c>
      <c r="J12" s="6">
        <v>2.4</v>
      </c>
      <c r="K12" s="6">
        <v>4.0999999999999996</v>
      </c>
      <c r="L12" s="6">
        <v>3.1</v>
      </c>
      <c r="M12" s="6">
        <v>1</v>
      </c>
      <c r="N12" s="6">
        <f t="shared" si="0"/>
        <v>12.709999999999999</v>
      </c>
      <c r="O12" s="6">
        <v>1</v>
      </c>
      <c r="P12" s="6">
        <f t="shared" si="1"/>
        <v>34.559999999999995</v>
      </c>
      <c r="Q12" s="6"/>
      <c r="R12" s="6"/>
    </row>
    <row r="13" spans="1:18" x14ac:dyDescent="0.25">
      <c r="A13" s="9" t="s">
        <v>24</v>
      </c>
      <c r="B13" s="10" t="s">
        <v>33</v>
      </c>
      <c r="C13" s="11">
        <v>45946</v>
      </c>
      <c r="D13" s="10" t="s">
        <v>34</v>
      </c>
      <c r="E13" s="10" t="s">
        <v>36</v>
      </c>
      <c r="F13" s="10" t="s">
        <v>5</v>
      </c>
      <c r="G13" s="12">
        <v>792.8</v>
      </c>
      <c r="H13" s="10">
        <v>1</v>
      </c>
      <c r="I13" s="10">
        <v>0</v>
      </c>
      <c r="J13" s="10">
        <v>2.4</v>
      </c>
      <c r="K13" s="10">
        <v>2</v>
      </c>
      <c r="L13" s="10">
        <v>2</v>
      </c>
      <c r="M13" s="10">
        <v>1</v>
      </c>
      <c r="N13" s="10">
        <f t="shared" si="0"/>
        <v>4</v>
      </c>
      <c r="O13" s="10">
        <v>1</v>
      </c>
      <c r="P13" s="10">
        <f t="shared" si="1"/>
        <v>19.2</v>
      </c>
      <c r="Q13" s="10"/>
      <c r="R13" s="10"/>
    </row>
    <row r="14" spans="1:18" x14ac:dyDescent="0.25">
      <c r="A14" s="5" t="s">
        <v>24</v>
      </c>
      <c r="B14" s="6" t="s">
        <v>33</v>
      </c>
      <c r="C14" s="7">
        <v>45946</v>
      </c>
      <c r="D14" s="6" t="s">
        <v>34</v>
      </c>
      <c r="E14" s="6" t="s">
        <v>10</v>
      </c>
      <c r="F14" s="6" t="s">
        <v>10</v>
      </c>
      <c r="G14" s="8">
        <v>1301.5899999999999</v>
      </c>
      <c r="H14" s="6">
        <v>5</v>
      </c>
      <c r="I14" s="6">
        <v>0</v>
      </c>
      <c r="J14" s="6">
        <v>2.4</v>
      </c>
      <c r="K14" s="6">
        <v>1</v>
      </c>
      <c r="L14" s="6">
        <v>3</v>
      </c>
      <c r="M14" s="6">
        <v>1</v>
      </c>
      <c r="N14" s="6">
        <f t="shared" si="0"/>
        <v>3</v>
      </c>
      <c r="O14" s="6">
        <v>1</v>
      </c>
      <c r="P14" s="6">
        <f t="shared" si="1"/>
        <v>19.2</v>
      </c>
      <c r="Q14" s="6"/>
      <c r="R14" s="6"/>
    </row>
    <row r="15" spans="1:18" x14ac:dyDescent="0.25">
      <c r="A15" s="9" t="s">
        <v>24</v>
      </c>
      <c r="B15" s="10" t="s">
        <v>37</v>
      </c>
      <c r="C15" s="11">
        <v>45893</v>
      </c>
      <c r="D15" s="10" t="s">
        <v>38</v>
      </c>
      <c r="E15" s="10" t="s">
        <v>39</v>
      </c>
      <c r="F15" s="10" t="s">
        <v>39</v>
      </c>
      <c r="G15" s="12">
        <v>3800</v>
      </c>
      <c r="H15" s="10">
        <v>7</v>
      </c>
      <c r="I15" s="10">
        <v>4</v>
      </c>
      <c r="J15" s="10">
        <v>2.7</v>
      </c>
      <c r="K15" s="10">
        <v>14.76</v>
      </c>
      <c r="L15" s="10">
        <v>6.6</v>
      </c>
      <c r="M15" s="10">
        <v>1</v>
      </c>
      <c r="N15" s="10">
        <f t="shared" si="0"/>
        <v>97.415999999999997</v>
      </c>
      <c r="O15" s="10">
        <v>1</v>
      </c>
      <c r="P15" s="10">
        <f t="shared" si="1"/>
        <v>115.34400000000001</v>
      </c>
      <c r="Q15" s="10"/>
      <c r="R15" s="10" t="s">
        <v>40</v>
      </c>
    </row>
    <row r="16" spans="1:18" x14ac:dyDescent="0.25">
      <c r="A16" s="5" t="s">
        <v>21</v>
      </c>
      <c r="B16" s="6" t="s">
        <v>41</v>
      </c>
      <c r="C16" s="7">
        <v>45725</v>
      </c>
      <c r="D16" s="6" t="s">
        <v>42</v>
      </c>
      <c r="E16" s="6" t="s">
        <v>43</v>
      </c>
      <c r="F16" s="6" t="s">
        <v>65</v>
      </c>
      <c r="G16" s="8">
        <v>3050</v>
      </c>
      <c r="H16" s="6">
        <v>4</v>
      </c>
      <c r="I16" s="6">
        <v>1</v>
      </c>
      <c r="J16" s="6">
        <v>2.4</v>
      </c>
      <c r="K16" s="6">
        <v>7.2</v>
      </c>
      <c r="L16" s="6">
        <f>5.8+0.9</f>
        <v>6.7</v>
      </c>
      <c r="M16" s="6">
        <v>1</v>
      </c>
      <c r="N16" s="6">
        <f t="shared" si="0"/>
        <v>48.24</v>
      </c>
      <c r="O16" s="6">
        <v>1</v>
      </c>
      <c r="P16" s="6">
        <f t="shared" si="1"/>
        <v>66.72</v>
      </c>
      <c r="Q16" s="6"/>
      <c r="R16" s="6"/>
    </row>
    <row r="17" spans="1:18" x14ac:dyDescent="0.25">
      <c r="A17" s="9" t="s">
        <v>21</v>
      </c>
      <c r="B17" s="10" t="s">
        <v>41</v>
      </c>
      <c r="C17" s="11">
        <v>45725</v>
      </c>
      <c r="D17" s="10" t="s">
        <v>42</v>
      </c>
      <c r="E17" s="10" t="s">
        <v>44</v>
      </c>
      <c r="F17" s="10" t="s">
        <v>66</v>
      </c>
      <c r="G17" s="12">
        <v>950</v>
      </c>
      <c r="H17" s="10">
        <v>0</v>
      </c>
      <c r="I17" s="10">
        <v>1</v>
      </c>
      <c r="J17" s="10">
        <v>2.4</v>
      </c>
      <c r="K17" s="10">
        <v>4</v>
      </c>
      <c r="L17" s="10">
        <v>1</v>
      </c>
      <c r="M17" s="10">
        <v>0</v>
      </c>
      <c r="N17" s="10">
        <f t="shared" si="0"/>
        <v>0</v>
      </c>
      <c r="O17" s="10">
        <v>1</v>
      </c>
      <c r="P17" s="10">
        <f t="shared" si="1"/>
        <v>24</v>
      </c>
      <c r="Q17" s="10"/>
      <c r="R17" s="10" t="s">
        <v>50</v>
      </c>
    </row>
    <row r="18" spans="1:18" x14ac:dyDescent="0.25">
      <c r="A18" s="5" t="s">
        <v>21</v>
      </c>
      <c r="B18" s="6" t="s">
        <v>41</v>
      </c>
      <c r="C18" s="7">
        <v>45725</v>
      </c>
      <c r="D18" s="6" t="s">
        <v>42</v>
      </c>
      <c r="E18" s="6" t="s">
        <v>45</v>
      </c>
      <c r="F18" s="6" t="s">
        <v>5</v>
      </c>
      <c r="G18" s="8">
        <v>1500</v>
      </c>
      <c r="H18" s="6">
        <v>1</v>
      </c>
      <c r="I18" s="6">
        <v>2</v>
      </c>
      <c r="J18" s="6">
        <v>2.4</v>
      </c>
      <c r="K18" s="6">
        <v>3</v>
      </c>
      <c r="L18" s="6">
        <v>2.8</v>
      </c>
      <c r="M18" s="6">
        <v>1</v>
      </c>
      <c r="N18" s="6">
        <f t="shared" si="0"/>
        <v>8.3999999999999986</v>
      </c>
      <c r="O18" s="6">
        <v>1</v>
      </c>
      <c r="P18" s="6">
        <f t="shared" si="1"/>
        <v>27.84</v>
      </c>
      <c r="Q18" s="6"/>
      <c r="R18" s="6"/>
    </row>
    <row r="19" spans="1:18" x14ac:dyDescent="0.25">
      <c r="A19" s="9" t="s">
        <v>21</v>
      </c>
      <c r="B19" s="10" t="s">
        <v>41</v>
      </c>
      <c r="C19" s="11">
        <v>45725</v>
      </c>
      <c r="D19" s="10" t="s">
        <v>42</v>
      </c>
      <c r="E19" s="10" t="s">
        <v>46</v>
      </c>
      <c r="F19" s="10" t="s">
        <v>66</v>
      </c>
      <c r="G19" s="12">
        <v>1000</v>
      </c>
      <c r="H19" s="10">
        <v>0</v>
      </c>
      <c r="I19" s="10">
        <v>0</v>
      </c>
      <c r="J19" s="10">
        <v>4.8</v>
      </c>
      <c r="K19" s="10">
        <v>2</v>
      </c>
      <c r="L19" s="10">
        <v>3</v>
      </c>
      <c r="M19" s="10">
        <v>1</v>
      </c>
      <c r="N19" s="10">
        <f t="shared" si="0"/>
        <v>6</v>
      </c>
      <c r="O19" s="10">
        <v>1</v>
      </c>
      <c r="P19" s="10">
        <f t="shared" si="1"/>
        <v>48</v>
      </c>
      <c r="Q19" s="10"/>
      <c r="R19" s="10" t="s">
        <v>51</v>
      </c>
    </row>
    <row r="20" spans="1:18" x14ac:dyDescent="0.25">
      <c r="A20" s="5" t="s">
        <v>21</v>
      </c>
      <c r="B20" s="6" t="s">
        <v>41</v>
      </c>
      <c r="C20" s="7">
        <v>45725</v>
      </c>
      <c r="D20" s="6" t="s">
        <v>42</v>
      </c>
      <c r="E20" s="6" t="s">
        <v>47</v>
      </c>
      <c r="F20" s="6" t="s">
        <v>67</v>
      </c>
      <c r="G20" s="8">
        <v>3500</v>
      </c>
      <c r="H20" s="6">
        <v>3</v>
      </c>
      <c r="I20" s="6">
        <v>4</v>
      </c>
      <c r="J20" s="6">
        <v>2.7</v>
      </c>
      <c r="K20" s="6">
        <v>8.1</v>
      </c>
      <c r="L20" s="6">
        <v>6</v>
      </c>
      <c r="M20" s="6">
        <v>1</v>
      </c>
      <c r="N20" s="6">
        <f t="shared" si="0"/>
        <v>48.599999999999994</v>
      </c>
      <c r="O20" s="6">
        <v>1</v>
      </c>
      <c r="P20" s="6">
        <f t="shared" si="1"/>
        <v>76.14</v>
      </c>
      <c r="Q20" s="6"/>
      <c r="R20" s="6"/>
    </row>
    <row r="21" spans="1:18" x14ac:dyDescent="0.25">
      <c r="A21" s="9" t="s">
        <v>21</v>
      </c>
      <c r="B21" s="10" t="s">
        <v>41</v>
      </c>
      <c r="C21" s="11">
        <v>45725</v>
      </c>
      <c r="D21" s="10" t="s">
        <v>42</v>
      </c>
      <c r="E21" s="10" t="s">
        <v>52</v>
      </c>
      <c r="F21" s="10" t="s">
        <v>52</v>
      </c>
      <c r="G21" s="12">
        <v>1500</v>
      </c>
      <c r="H21" s="10">
        <v>0</v>
      </c>
      <c r="I21" s="10">
        <v>2</v>
      </c>
      <c r="J21" s="10">
        <v>2.4</v>
      </c>
      <c r="K21" s="10">
        <v>4</v>
      </c>
      <c r="L21" s="10">
        <v>3</v>
      </c>
      <c r="M21" s="10">
        <v>1</v>
      </c>
      <c r="N21" s="10">
        <f t="shared" si="0"/>
        <v>12</v>
      </c>
      <c r="O21" s="10">
        <v>1</v>
      </c>
      <c r="P21" s="10">
        <f t="shared" si="1"/>
        <v>33.6</v>
      </c>
      <c r="Q21" s="10"/>
      <c r="R21" s="10"/>
    </row>
    <row r="22" spans="1:18" x14ac:dyDescent="0.25">
      <c r="A22" s="5" t="s">
        <v>21</v>
      </c>
      <c r="B22" s="6" t="s">
        <v>41</v>
      </c>
      <c r="C22" s="7">
        <v>45725</v>
      </c>
      <c r="D22" s="6" t="s">
        <v>42</v>
      </c>
      <c r="E22" s="6" t="s">
        <v>12</v>
      </c>
      <c r="F22" s="6" t="s">
        <v>12</v>
      </c>
      <c r="G22" s="8">
        <v>250</v>
      </c>
      <c r="H22" s="6"/>
      <c r="I22" s="6"/>
      <c r="J22" s="6"/>
      <c r="K22" s="6"/>
      <c r="L22" s="6"/>
      <c r="M22" s="6"/>
      <c r="N22" s="6">
        <f t="shared" si="0"/>
        <v>0</v>
      </c>
      <c r="O22" s="6"/>
      <c r="P22" s="6">
        <f t="shared" si="1"/>
        <v>0</v>
      </c>
      <c r="Q22" s="6"/>
      <c r="R22" s="6"/>
    </row>
    <row r="23" spans="1:18" x14ac:dyDescent="0.25">
      <c r="A23" s="9" t="s">
        <v>21</v>
      </c>
      <c r="B23" s="10" t="s">
        <v>41</v>
      </c>
      <c r="C23" s="11">
        <v>45725</v>
      </c>
      <c r="D23" s="10" t="s">
        <v>42</v>
      </c>
      <c r="E23" s="10" t="s">
        <v>48</v>
      </c>
      <c r="F23" s="10" t="s">
        <v>48</v>
      </c>
      <c r="G23" s="12">
        <v>1500</v>
      </c>
      <c r="H23" s="10"/>
      <c r="I23" s="10"/>
      <c r="J23" s="10"/>
      <c r="K23" s="10"/>
      <c r="L23" s="10"/>
      <c r="M23" s="10"/>
      <c r="N23" s="10">
        <f t="shared" si="0"/>
        <v>0</v>
      </c>
      <c r="O23" s="10"/>
      <c r="P23" s="10">
        <f t="shared" si="1"/>
        <v>0</v>
      </c>
      <c r="Q23" s="10"/>
      <c r="R23" s="10"/>
    </row>
    <row r="24" spans="1:18" x14ac:dyDescent="0.25">
      <c r="A24" s="5" t="s">
        <v>21</v>
      </c>
      <c r="B24" s="6" t="s">
        <v>41</v>
      </c>
      <c r="C24" s="7">
        <v>45725</v>
      </c>
      <c r="D24" s="6" t="s">
        <v>42</v>
      </c>
      <c r="E24" s="6" t="s">
        <v>49</v>
      </c>
      <c r="F24" s="6" t="s">
        <v>68</v>
      </c>
      <c r="G24" s="8">
        <v>2700</v>
      </c>
      <c r="H24" s="6"/>
      <c r="I24" s="6"/>
      <c r="J24" s="6"/>
      <c r="K24" s="6"/>
      <c r="L24" s="6"/>
      <c r="M24" s="6"/>
      <c r="N24" s="6">
        <f t="shared" si="0"/>
        <v>0</v>
      </c>
      <c r="O24" s="6"/>
      <c r="P24" s="6">
        <f t="shared" si="1"/>
        <v>0</v>
      </c>
      <c r="Q24" s="6"/>
      <c r="R24" s="6"/>
    </row>
    <row r="25" spans="1:18" x14ac:dyDescent="0.25">
      <c r="A25" s="9" t="s">
        <v>21</v>
      </c>
      <c r="B25" s="10" t="s">
        <v>53</v>
      </c>
      <c r="C25" s="11">
        <v>45918</v>
      </c>
      <c r="D25" s="10" t="s">
        <v>54</v>
      </c>
      <c r="E25" s="10" t="s">
        <v>55</v>
      </c>
      <c r="F25" s="10" t="s">
        <v>5</v>
      </c>
      <c r="G25" s="12">
        <v>1500</v>
      </c>
      <c r="H25" s="10">
        <v>2</v>
      </c>
      <c r="I25" s="10">
        <v>1</v>
      </c>
      <c r="J25" s="10">
        <v>2.4</v>
      </c>
      <c r="K25" s="10">
        <v>2.4</v>
      </c>
      <c r="L25" s="10">
        <v>2</v>
      </c>
      <c r="M25" s="10">
        <v>1</v>
      </c>
      <c r="N25" s="10">
        <f t="shared" si="0"/>
        <v>4.8</v>
      </c>
      <c r="O25" s="10">
        <v>1</v>
      </c>
      <c r="P25" s="10">
        <f t="shared" si="1"/>
        <v>21.12</v>
      </c>
      <c r="Q25" s="10"/>
      <c r="R25" s="10"/>
    </row>
    <row r="26" spans="1:18" x14ac:dyDescent="0.25">
      <c r="A26" s="5" t="s">
        <v>21</v>
      </c>
      <c r="B26" s="6" t="s">
        <v>53</v>
      </c>
      <c r="C26" s="7">
        <v>45918</v>
      </c>
      <c r="D26" s="6" t="s">
        <v>54</v>
      </c>
      <c r="E26" s="6" t="s">
        <v>56</v>
      </c>
      <c r="F26" s="6" t="s">
        <v>5</v>
      </c>
      <c r="G26" s="8">
        <v>1500</v>
      </c>
      <c r="H26" s="6">
        <v>1</v>
      </c>
      <c r="I26" s="6">
        <v>1</v>
      </c>
      <c r="J26" s="6">
        <v>2.4</v>
      </c>
      <c r="K26" s="6">
        <v>2.4</v>
      </c>
      <c r="L26" s="6">
        <v>2</v>
      </c>
      <c r="M26" s="6">
        <v>1</v>
      </c>
      <c r="N26" s="6">
        <f t="shared" si="0"/>
        <v>4.8</v>
      </c>
      <c r="O26" s="6">
        <v>1</v>
      </c>
      <c r="P26" s="6">
        <f t="shared" si="1"/>
        <v>21.12</v>
      </c>
      <c r="Q26" s="6"/>
      <c r="R26" s="6"/>
    </row>
    <row r="27" spans="1:18" x14ac:dyDescent="0.25">
      <c r="A27" s="9" t="s">
        <v>21</v>
      </c>
      <c r="B27" s="10" t="s">
        <v>57</v>
      </c>
      <c r="C27" s="11">
        <v>45763</v>
      </c>
      <c r="D27" s="10" t="s">
        <v>58</v>
      </c>
      <c r="E27" s="10" t="s">
        <v>47</v>
      </c>
      <c r="F27" s="10" t="s">
        <v>67</v>
      </c>
      <c r="G27" s="12">
        <v>3000</v>
      </c>
      <c r="H27" s="10">
        <v>1</v>
      </c>
      <c r="I27" s="10">
        <v>0</v>
      </c>
      <c r="J27" s="10">
        <v>2.4</v>
      </c>
      <c r="K27" s="10">
        <v>3</v>
      </c>
      <c r="L27" s="10">
        <v>2.5</v>
      </c>
      <c r="M27" s="10">
        <v>1</v>
      </c>
      <c r="N27" s="10">
        <f t="shared" si="0"/>
        <v>7.5</v>
      </c>
      <c r="O27" s="10">
        <v>1</v>
      </c>
      <c r="P27" s="10">
        <f t="shared" si="1"/>
        <v>26.4</v>
      </c>
      <c r="Q27" s="10"/>
      <c r="R27" s="10"/>
    </row>
    <row r="28" spans="1:18" x14ac:dyDescent="0.25">
      <c r="A28" s="5" t="s">
        <v>21</v>
      </c>
      <c r="B28" s="6" t="s">
        <v>57</v>
      </c>
      <c r="C28" s="7">
        <v>45763</v>
      </c>
      <c r="D28" s="6" t="s">
        <v>58</v>
      </c>
      <c r="E28" s="6" t="s">
        <v>52</v>
      </c>
      <c r="F28" s="6" t="s">
        <v>52</v>
      </c>
      <c r="G28" s="8">
        <v>1700</v>
      </c>
      <c r="H28" s="6">
        <v>1</v>
      </c>
      <c r="I28" s="6">
        <v>0</v>
      </c>
      <c r="J28" s="6">
        <v>2.4</v>
      </c>
      <c r="K28" s="6">
        <v>3</v>
      </c>
      <c r="L28" s="6">
        <v>2.5</v>
      </c>
      <c r="M28" s="6">
        <v>1</v>
      </c>
      <c r="N28" s="6">
        <f t="shared" si="0"/>
        <v>7.5</v>
      </c>
      <c r="O28" s="6">
        <v>1</v>
      </c>
      <c r="P28" s="6">
        <f t="shared" si="1"/>
        <v>26.4</v>
      </c>
      <c r="Q28" s="6"/>
      <c r="R28" s="6"/>
    </row>
    <row r="29" spans="1:18" x14ac:dyDescent="0.25">
      <c r="A29" s="9" t="s">
        <v>21</v>
      </c>
      <c r="B29" s="10" t="s">
        <v>57</v>
      </c>
      <c r="C29" s="11">
        <v>45763</v>
      </c>
      <c r="D29" s="10" t="s">
        <v>58</v>
      </c>
      <c r="E29" s="10" t="s">
        <v>12</v>
      </c>
      <c r="F29" s="10" t="s">
        <v>12</v>
      </c>
      <c r="G29" s="12">
        <v>1200</v>
      </c>
      <c r="H29" s="10">
        <v>2</v>
      </c>
      <c r="I29" s="10">
        <v>2</v>
      </c>
      <c r="J29" s="10">
        <v>3</v>
      </c>
      <c r="K29" s="10">
        <v>8</v>
      </c>
      <c r="L29" s="10">
        <v>3.25</v>
      </c>
      <c r="M29" s="10">
        <v>1</v>
      </c>
      <c r="N29" s="10">
        <f t="shared" si="0"/>
        <v>26</v>
      </c>
      <c r="O29" s="10">
        <v>1</v>
      </c>
      <c r="P29" s="10">
        <f t="shared" si="1"/>
        <v>67.5</v>
      </c>
      <c r="Q29" s="10"/>
      <c r="R29" s="10"/>
    </row>
    <row r="30" spans="1:18" x14ac:dyDescent="0.25">
      <c r="A30" s="5" t="s">
        <v>21</v>
      </c>
      <c r="B30" s="6" t="s">
        <v>57</v>
      </c>
      <c r="C30" s="7">
        <v>45763</v>
      </c>
      <c r="D30" s="6" t="s">
        <v>58</v>
      </c>
      <c r="E30" s="6" t="s">
        <v>10</v>
      </c>
      <c r="F30" s="6" t="s">
        <v>10</v>
      </c>
      <c r="G30" s="8">
        <v>1500</v>
      </c>
      <c r="H30" s="6">
        <v>6</v>
      </c>
      <c r="I30" s="6">
        <v>0</v>
      </c>
      <c r="J30" s="6">
        <v>2.4</v>
      </c>
      <c r="K30" s="6">
        <v>4</v>
      </c>
      <c r="L30" s="6">
        <v>1</v>
      </c>
      <c r="M30" s="6">
        <v>1</v>
      </c>
      <c r="N30" s="6">
        <f t="shared" si="0"/>
        <v>4</v>
      </c>
      <c r="O30" s="6">
        <v>1</v>
      </c>
      <c r="P30" s="6">
        <f t="shared" si="1"/>
        <v>24</v>
      </c>
      <c r="Q30" s="6"/>
      <c r="R30" s="6"/>
    </row>
    <row r="31" spans="1:18" x14ac:dyDescent="0.25">
      <c r="A31" s="9" t="s">
        <v>21</v>
      </c>
      <c r="B31" s="10" t="s">
        <v>57</v>
      </c>
      <c r="C31" s="11">
        <v>45763</v>
      </c>
      <c r="D31" s="10" t="s">
        <v>58</v>
      </c>
      <c r="E31" s="10" t="s">
        <v>48</v>
      </c>
      <c r="F31" s="10" t="s">
        <v>48</v>
      </c>
      <c r="G31" s="12">
        <v>0</v>
      </c>
      <c r="H31" s="10"/>
      <c r="I31" s="10"/>
      <c r="J31" s="10"/>
      <c r="K31" s="10"/>
      <c r="L31" s="10"/>
      <c r="M31" s="10"/>
      <c r="N31" s="10">
        <f t="shared" si="0"/>
        <v>0</v>
      </c>
      <c r="O31" s="10"/>
      <c r="P31" s="10">
        <f t="shared" si="1"/>
        <v>0</v>
      </c>
      <c r="Q31" s="10"/>
      <c r="R31" s="10"/>
    </row>
    <row r="32" spans="1:18" x14ac:dyDescent="0.25">
      <c r="A32" s="1" t="s">
        <v>24</v>
      </c>
      <c r="B32" s="2" t="s">
        <v>59</v>
      </c>
      <c r="C32" s="13">
        <v>45959</v>
      </c>
      <c r="D32" s="2" t="s">
        <v>60</v>
      </c>
      <c r="E32" s="2" t="s">
        <v>5</v>
      </c>
      <c r="F32" s="2" t="s">
        <v>5</v>
      </c>
      <c r="G32" s="14">
        <v>1800</v>
      </c>
      <c r="H32" s="2">
        <v>2</v>
      </c>
      <c r="I32" s="2">
        <v>1</v>
      </c>
      <c r="J32" s="2">
        <v>2.7</v>
      </c>
      <c r="K32" s="2">
        <v>3</v>
      </c>
      <c r="L32" s="2">
        <v>3</v>
      </c>
      <c r="M32" s="2">
        <v>1</v>
      </c>
      <c r="N32" s="2">
        <f t="shared" si="0"/>
        <v>9</v>
      </c>
      <c r="O32" s="2">
        <v>1</v>
      </c>
      <c r="P32" s="2">
        <f t="shared" si="1"/>
        <v>32.400000000000006</v>
      </c>
      <c r="Q32" s="2"/>
      <c r="R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Morrison</dc:creator>
  <cp:lastModifiedBy>Mark Morrison</cp:lastModifiedBy>
  <dcterms:created xsi:type="dcterms:W3CDTF">2025-11-10T18:50:00Z</dcterms:created>
  <dcterms:modified xsi:type="dcterms:W3CDTF">2025-11-10T23:35:42Z</dcterms:modified>
</cp:coreProperties>
</file>